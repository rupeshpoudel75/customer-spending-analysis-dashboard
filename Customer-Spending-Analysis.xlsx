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hidePivotFieldList="1" defaultThemeVersion="166925"/>
  <xr:revisionPtr revIDLastSave="0" documentId="8_{B9AD60C6-1046-403C-8508-725A822EB234}" xr6:coauthVersionLast="47" xr6:coauthVersionMax="47" xr10:uidLastSave="{00000000-0000-0000-0000-000000000000}"/>
  <bookViews>
    <workbookView xWindow="240" yWindow="105" windowWidth="14805" windowHeight="8010" firstSheet="4" activeTab="4" xr2:uid="{00000000-000D-0000-FFFF-FFFF00000000}"/>
  </bookViews>
  <sheets>
    <sheet name="Sheet2" sheetId="2" r:id="rId1"/>
    <sheet name="Sheet1" sheetId="3" r:id="rId2"/>
    <sheet name="Sheet3" sheetId="5" r:id="rId3"/>
    <sheet name="Customer Data" sheetId="1" r:id="rId4"/>
    <sheet name="Dashboard" sheetId="4" r:id="rId5"/>
  </sheets>
  <calcPr calcId="191028"/>
  <pivotCaches>
    <pivotCache cacheId="1203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5" l="1"/>
  <c r="B4" i="5"/>
  <c r="B5" i="5"/>
  <c r="B6" i="5"/>
  <c r="B7" i="5"/>
  <c r="B8" i="5"/>
  <c r="B9" i="5"/>
  <c r="B10" i="5"/>
  <c r="B11" i="5"/>
  <c r="B12" i="5"/>
  <c r="B13" i="5"/>
  <c r="B2" i="5"/>
  <c r="B3" i="1"/>
  <c r="B4" i="1"/>
  <c r="B5" i="1"/>
  <c r="B6" i="1"/>
  <c r="B7" i="1"/>
  <c r="B8" i="1"/>
  <c r="B9" i="1"/>
  <c r="B10" i="1"/>
  <c r="B11" i="1"/>
  <c r="B12" i="1"/>
  <c r="B13" i="1"/>
  <c r="B2" i="1"/>
</calcChain>
</file>

<file path=xl/sharedStrings.xml><?xml version="1.0" encoding="utf-8"?>
<sst xmlns="http://schemas.openxmlformats.org/spreadsheetml/2006/main" count="102" uniqueCount="30">
  <si>
    <t>Date</t>
  </si>
  <si>
    <t xml:space="preserve">Month </t>
  </si>
  <si>
    <t>Customer</t>
  </si>
  <si>
    <t>Gender</t>
  </si>
  <si>
    <t>Product</t>
  </si>
  <si>
    <t>Amount</t>
  </si>
  <si>
    <t>CUST001</t>
  </si>
  <si>
    <t>Male</t>
  </si>
  <si>
    <t>Electronics</t>
  </si>
  <si>
    <t>CUST002</t>
  </si>
  <si>
    <t>Female</t>
  </si>
  <si>
    <t>Clothing</t>
  </si>
  <si>
    <t>CUST003</t>
  </si>
  <si>
    <t>Beauty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</si>
  <si>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</si>
  <si>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</si>
  <si>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</si>
  <si>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</si>
  <si>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</si>
  <si>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</si>
  <si>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</si>
  <si>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</si>
  <si>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</si>
  <si>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Month</t>
  </si>
  <si>
    <t>Sum of Amount</t>
  </si>
  <si>
    <t>Jan</t>
  </si>
  <si>
    <t>Feb</t>
  </si>
  <si>
    <t>Grand Total</t>
  </si>
  <si>
    <t>Mar</t>
  </si>
  <si>
    <t>Apr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</si>
</sst>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2">
    <dxf>
      <alignment horizontal="general" vertical="bottom" textRotation="0" wrapText="1" indent="0" justifyLastLine="0" shrinkToFit="0" readingOrder="0"/>
    </dxf>
    <dxf>
      <numFmt numFmtId="19" formatCode="dd/mm/yyyy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Beauty</c:v>
              </c:pt>
              <c:pt idx="1">
                <c:v>Clothing</c:v>
              </c:pt>
              <c:pt idx="2">
                <c:v>Electronics</c:v>
              </c:pt>
              <c:pt idx="3">
                <c:v>(blank)</c:v>
              </c:pt>
            </c:strLit>
          </c:cat>
          <c:val>
            <c:numLit>
              <c:formatCode>General</c:formatCode>
              <c:ptCount val="4"/>
              <c:pt idx="0">
                <c:v>405</c:v>
              </c:pt>
              <c:pt idx="1">
                <c:v>680</c:v>
              </c:pt>
              <c:pt idx="2">
                <c:v>1200</c:v>
              </c:pt>
            </c:numLit>
          </c:val>
          <c:extLst>
            <c:ext xmlns:c16="http://schemas.microsoft.com/office/drawing/2014/chart" uri="{C3380CC4-5D6E-409C-BE32-E72D297353CC}">
              <c16:uniqueId val="{00000003-2A28-4E5D-9613-77560EA63D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14322951"/>
        <c:axId val="1314378247"/>
      </c:barChart>
      <c:catAx>
        <c:axId val="131432295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378247"/>
        <c:crosses val="autoZero"/>
        <c:auto val="1"/>
        <c:lblAlgn val="ctr"/>
        <c:lblOffset val="100"/>
        <c:noMultiLvlLbl val="0"/>
      </c:catAx>
      <c:valAx>
        <c:axId val="1314378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322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[Customer-Spending-Analysis.xlsx]Customer Data!PivotTable1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'Customer Data'!$N$9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0B4-42E6-9D03-24CD8A777B5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0B4-42E6-9D03-24CD8A777B5D}"/>
              </c:ext>
            </c:extLst>
          </c:dPt>
          <c:cat>
            <c:strRef>
              <c:f>'Customer Data'!$M$10:$M$12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'Customer Data'!$N$10:$N$12</c:f>
              <c:numCache>
                <c:formatCode>General</c:formatCode>
                <c:ptCount val="2"/>
                <c:pt idx="0">
                  <c:v>1270</c:v>
                </c:pt>
                <c:pt idx="1">
                  <c:v>1015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0B4-42E6-9D03-24CD8A777B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[Customer-Spending-Analysis.xlsx]Customer Data!PivotTable3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Data'!$K$9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Data'!$J$10:$J$13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'Customer Data'!$K$10:$K$13</c:f>
              <c:numCache>
                <c:formatCode>General</c:formatCode>
                <c:ptCount val="3"/>
                <c:pt idx="0">
                  <c:v>405</c:v>
                </c:pt>
                <c:pt idx="1">
                  <c:v>680</c:v>
                </c:pt>
                <c:pt idx="2">
                  <c:v>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46-4FEB-9304-25241901D8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8266119"/>
        <c:axId val="1458268167"/>
      </c:barChart>
      <c:catAx>
        <c:axId val="1458266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8268167"/>
        <c:crosses val="autoZero"/>
        <c:auto val="1"/>
        <c:lblAlgn val="ctr"/>
        <c:lblOffset val="100"/>
        <c:noMultiLvlLbl val="0"/>
      </c:catAx>
      <c:valAx>
        <c:axId val="1458268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8266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[Customer-Spending-Analysis.xlsx]Customer Data!PivotTable2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'Customer Data'!$Q$9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'Customer Data'!$P$10:$P$14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'Customer Data'!$Q$10:$Q$14</c:f>
              <c:numCache>
                <c:formatCode>General</c:formatCode>
                <c:ptCount val="4"/>
                <c:pt idx="0">
                  <c:v>760</c:v>
                </c:pt>
                <c:pt idx="1">
                  <c:v>290</c:v>
                </c:pt>
                <c:pt idx="2">
                  <c:v>475</c:v>
                </c:pt>
                <c:pt idx="3">
                  <c:v>760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66-4A24-B4E3-A7A7CAAFAC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3470984"/>
        <c:axId val="273473032"/>
      </c:lineChart>
      <c:catAx>
        <c:axId val="273470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3473032"/>
        <c:crosses val="autoZero"/>
        <c:auto val="1"/>
        <c:lblAlgn val="ctr"/>
        <c:lblOffset val="100"/>
        <c:noMultiLvlLbl val="0"/>
      </c:catAx>
      <c:valAx>
        <c:axId val="273473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3470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180975</xdr:rowOff>
    </xdr:from>
    <xdr:to>
      <xdr:col>7</xdr:col>
      <xdr:colOff>180975</xdr:colOff>
      <xdr:row>6</xdr:row>
      <xdr:rowOff>180975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86964E3-8E5A-E88E-2569-EF00CEF37F63}"/>
            </a:ext>
          </a:extLst>
        </xdr:cNvPr>
        <xdr:cNvSpPr txBox="1"/>
      </xdr:nvSpPr>
      <xdr:spPr>
        <a:xfrm>
          <a:off x="3448050" y="371475"/>
          <a:ext cx="2619375" cy="952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Monthly sale analysis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6</xdr:row>
      <xdr:rowOff>28575</xdr:rowOff>
    </xdr:from>
    <xdr:to>
      <xdr:col>11</xdr:col>
      <xdr:colOff>19050</xdr:colOff>
      <xdr:row>7</xdr:row>
      <xdr:rowOff>161925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6192BB8-6DDF-3347-F22F-A238A73EDAE1}"/>
            </a:ext>
          </a:extLst>
        </xdr:cNvPr>
        <xdr:cNvSpPr txBox="1"/>
      </xdr:nvSpPr>
      <xdr:spPr>
        <a:xfrm>
          <a:off x="6638925" y="1371600"/>
          <a:ext cx="180022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vertOverflow="clip" horzOverflow="clip" rtlCol="0" anchor="t"/>
        <a:lstStyle/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Sales by product</a:t>
          </a:r>
        </a:p>
      </xdr:txBody>
    </xdr:sp>
    <xdr:clientData/>
  </xdr:twoCellAnchor>
  <xdr:twoCellAnchor>
    <xdr:from>
      <xdr:col>11</xdr:col>
      <xdr:colOff>581025</xdr:colOff>
      <xdr:row>6</xdr:row>
      <xdr:rowOff>38100</xdr:rowOff>
    </xdr:from>
    <xdr:to>
      <xdr:col>14</xdr:col>
      <xdr:colOff>19050</xdr:colOff>
      <xdr:row>7</xdr:row>
      <xdr:rowOff>171450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C02C50D-A266-4B06-902A-41DA8C90D637}"/>
            </a:ext>
            <a:ext uri="{147F2762-F138-4A5C-976F-8EAC2B608ADB}">
              <a16:predDERef xmlns:a16="http://schemas.microsoft.com/office/drawing/2014/main" pred="{66192BB8-6DDF-3347-F22F-A238A73EDAE1}"/>
            </a:ext>
          </a:extLst>
        </xdr:cNvPr>
        <xdr:cNvSpPr txBox="1"/>
      </xdr:nvSpPr>
      <xdr:spPr>
        <a:xfrm>
          <a:off x="9001125" y="1381125"/>
          <a:ext cx="157162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tlCol="0" anchor="t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Sales by Gender</a:t>
          </a:r>
        </a:p>
      </xdr:txBody>
    </xdr:sp>
    <xdr:clientData/>
  </xdr:twoCellAnchor>
  <xdr:twoCellAnchor>
    <xdr:from>
      <xdr:col>14</xdr:col>
      <xdr:colOff>600075</xdr:colOff>
      <xdr:row>6</xdr:row>
      <xdr:rowOff>38100</xdr:rowOff>
    </xdr:from>
    <xdr:to>
      <xdr:col>17</xdr:col>
      <xdr:colOff>9525</xdr:colOff>
      <xdr:row>7</xdr:row>
      <xdr:rowOff>171450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17D6D7D-CF01-413F-9492-106064169FA4}"/>
            </a:ext>
            <a:ext uri="{147F2762-F138-4A5C-976F-8EAC2B608ADB}">
              <a16:predDERef xmlns:a16="http://schemas.microsoft.com/office/drawing/2014/main" pred="{FC02C50D-A266-4B06-902A-41DA8C90D637}"/>
            </a:ext>
          </a:extLst>
        </xdr:cNvPr>
        <xdr:cNvSpPr txBox="1"/>
      </xdr:nvSpPr>
      <xdr:spPr>
        <a:xfrm>
          <a:off x="11153775" y="1381125"/>
          <a:ext cx="157162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tlCol="0" anchor="t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Sales by Month</a:t>
          </a:r>
        </a:p>
      </xdr:txBody>
    </xdr:sp>
    <xdr:clientData/>
  </xdr:twoCellAnchor>
  <xdr:twoCellAnchor>
    <xdr:from>
      <xdr:col>6</xdr:col>
      <xdr:colOff>352425</xdr:colOff>
      <xdr:row>40</xdr:row>
      <xdr:rowOff>66675</xdr:rowOff>
    </xdr:from>
    <xdr:to>
      <xdr:col>12</xdr:col>
      <xdr:colOff>190500</xdr:colOff>
      <xdr:row>54</xdr:row>
      <xdr:rowOff>142875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0B9D0C3-EB78-B2B0-A0FF-C72068E4BAEF}"/>
            </a:ext>
            <a:ext uri="{147F2762-F138-4A5C-976F-8EAC2B608ADB}">
              <a16:predDERef xmlns:a16="http://schemas.microsoft.com/office/drawing/2014/main" pred="{117D6D7D-CF01-413F-9492-106064169F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133350</xdr:colOff>
      <xdr:row>4</xdr:row>
      <xdr:rowOff>0</xdr:rowOff>
    </xdr:from>
    <xdr:to>
      <xdr:col>7</xdr:col>
      <xdr:colOff>390525</xdr:colOff>
      <xdr:row>16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B119E8-82CE-41CE-BF59-49CE5B3FD26D}"/>
            </a:ext>
            <a:ext uri="{147F2762-F138-4A5C-976F-8EAC2B608ADB}">
              <a16:predDERef xmlns:a16="http://schemas.microsoft.com/office/drawing/2014/main" pred="{117D6D7D-CF01-413F-9492-106064169F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95250</xdr:colOff>
      <xdr:row>3</xdr:row>
      <xdr:rowOff>161925</xdr:rowOff>
    </xdr:from>
    <xdr:to>
      <xdr:col>14</xdr:col>
      <xdr:colOff>295275</xdr:colOff>
      <xdr:row>16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6E06D8-27CF-4304-9836-26701F13A3C7}"/>
            </a:ext>
            <a:ext uri="{147F2762-F138-4A5C-976F-8EAC2B608ADB}">
              <a16:predDERef xmlns:a16="http://schemas.microsoft.com/office/drawing/2014/main" pred="{FFB119E8-82CE-41CE-BF59-49CE5B3FD2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466725</xdr:colOff>
      <xdr:row>17</xdr:row>
      <xdr:rowOff>19050</xdr:rowOff>
    </xdr:from>
    <xdr:to>
      <xdr:col>11</xdr:col>
      <xdr:colOff>161925</xdr:colOff>
      <xdr:row>31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70FA728-B430-429D-BB80-B2701A28F209}"/>
            </a:ext>
            <a:ext uri="{147F2762-F138-4A5C-976F-8EAC2B608ADB}">
              <a16:predDERef xmlns:a16="http://schemas.microsoft.com/office/drawing/2014/main" pred="{E86E06D8-27CF-4304-9836-26701F13A3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342900</xdr:colOff>
      <xdr:row>1</xdr:row>
      <xdr:rowOff>0</xdr:rowOff>
    </xdr:from>
    <xdr:to>
      <xdr:col>11</xdr:col>
      <xdr:colOff>209550</xdr:colOff>
      <xdr:row>3</xdr:row>
      <xdr:rowOff>171450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5A9DE61-4590-A311-FAB0-0D50E68589FD}"/>
            </a:ext>
            <a:ext uri="{147F2762-F138-4A5C-976F-8EAC2B608ADB}">
              <a16:predDERef xmlns:a16="http://schemas.microsoft.com/office/drawing/2014/main" pred="{070FA728-B430-429D-BB80-B2701A28F209}"/>
            </a:ext>
          </a:extLst>
        </xdr:cNvPr>
        <xdr:cNvSpPr txBox="1"/>
      </xdr:nvSpPr>
      <xdr:spPr>
        <a:xfrm>
          <a:off x="2781300" y="190500"/>
          <a:ext cx="4133850" cy="552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800" b="1">
              <a:solidFill>
                <a:schemeClr val="accent1">
                  <a:lumMod val="75000"/>
                </a:schemeClr>
              </a:solidFill>
              <a:latin typeface="+mn-lt"/>
              <a:ea typeface="+mn-lt"/>
              <a:cs typeface="+mn-lt"/>
            </a:rPr>
            <a:t>Customer Spending Analysis Dashboard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46.704433449071" createdVersion="8" refreshedVersion="8" minRefreshableVersion="3" recordCount="12" xr:uid="{AB6260AA-3D67-4250-96CA-38FBA62F32F3}">
  <cacheSource type="worksheet">
    <worksheetSource name="Table2"/>
  </cacheSource>
  <cacheFields count="6">
    <cacheField name="Date" numFmtId="14">
      <sharedItems containsSemiMixedTypes="0" containsNonDate="0" containsDate="1" containsString="0" minDate="2023-01-01T00:00:00" maxDate="2023-04-07T00:00:00"/>
    </cacheField>
    <cacheField name="Month" numFmtId="0">
      <sharedItems count="4">
        <s v="Jan"/>
        <s v="Feb"/>
        <s v="Mar"/>
        <s v="Apr"/>
      </sharedItems>
    </cacheField>
    <cacheField name="Customer" numFmtId="0">
      <sharedItems/>
    </cacheField>
    <cacheField name="Gender" numFmtId="0">
      <sharedItems count="2">
        <s v="Male"/>
        <s v="Female"/>
      </sharedItems>
    </cacheField>
    <cacheField name="Product" numFmtId="0">
      <sharedItems count="3">
        <s v="Electronics"/>
        <s v="Clothing"/>
        <s v="Beauty"/>
      </sharedItems>
    </cacheField>
    <cacheField name="Amount" numFmtId="0">
      <sharedItems containsSemiMixedTypes="0" containsString="0" containsNumber="1" containsInteger="1" minValue="75" maxValue="420" count="12">
        <n v="200"/>
        <n v="150"/>
        <n v="90"/>
        <n v="320"/>
        <n v="180"/>
        <n v="110"/>
        <n v="260"/>
        <n v="140"/>
        <n v="75"/>
        <n v="420"/>
        <n v="210"/>
        <n v="130"/>
      </sharedItems>
    </cacheField>
  </cacheFields>
  <extLst>
    <ext xmlns:x14="http://schemas.microsoft.com/office/spreadsheetml/2009/9/main" uri="{725AE2AE-9491-48be-B2B4-4EB974FC3084}">
      <x14:pivotCacheDefinition pivotCacheId="49200546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d v="2023-01-01T00:00:00"/>
    <x v="0"/>
    <s v="CUST001"/>
    <x v="0"/>
    <x v="0"/>
    <x v="0"/>
  </r>
  <r>
    <d v="2023-01-02T00:00:00"/>
    <x v="0"/>
    <s v="CUST002"/>
    <x v="1"/>
    <x v="1"/>
    <x v="1"/>
  </r>
  <r>
    <d v="2023-01-03T00:00:00"/>
    <x v="0"/>
    <s v="CUST003"/>
    <x v="0"/>
    <x v="2"/>
    <x v="2"/>
  </r>
  <r>
    <d v="2023-01-10T00:00:00"/>
    <x v="0"/>
    <s v="CUST004"/>
    <x v="1"/>
    <x v="0"/>
    <x v="3"/>
  </r>
  <r>
    <d v="2023-02-15T00:00:00"/>
    <x v="1"/>
    <s v="CUST005"/>
    <x v="0"/>
    <x v="1"/>
    <x v="4"/>
  </r>
  <r>
    <d v="2023-02-18T00:00:00"/>
    <x v="1"/>
    <s v="CUST006"/>
    <x v="1"/>
    <x v="2"/>
    <x v="5"/>
  </r>
  <r>
    <d v="2023-03-05T00:00:00"/>
    <x v="2"/>
    <s v="CUST007"/>
    <x v="0"/>
    <x v="0"/>
    <x v="6"/>
  </r>
  <r>
    <d v="2023-03-08T00:00:00"/>
    <x v="2"/>
    <s v="CUST008"/>
    <x v="1"/>
    <x v="1"/>
    <x v="7"/>
  </r>
  <r>
    <d v="2023-03-12T00:00:00"/>
    <x v="2"/>
    <s v="CUST009"/>
    <x v="0"/>
    <x v="2"/>
    <x v="8"/>
  </r>
  <r>
    <d v="2023-04-01T00:00:00"/>
    <x v="3"/>
    <s v="CUST010"/>
    <x v="1"/>
    <x v="0"/>
    <x v="9"/>
  </r>
  <r>
    <d v="2023-04-03T00:00:00"/>
    <x v="3"/>
    <s v="CUST011"/>
    <x v="0"/>
    <x v="1"/>
    <x v="10"/>
  </r>
  <r>
    <d v="2023-04-06T00:00:00"/>
    <x v="3"/>
    <s v="CUST012"/>
    <x v="1"/>
    <x v="2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99461D-A08F-4ED6-9EBF-EECC5D915A1C}" name="PivotTable3" cacheId="120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J9:K13" firstHeaderRow="1" firstDataRow="1" firstDataCol="1"/>
  <pivotFields count="6"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2"/>
        <item x="1"/>
        <item x="0"/>
        <item t="default"/>
      </items>
    </pivotField>
    <pivotField dataField="1" compact="0" outline="0" showAll="0">
      <items count="13">
        <item h="1" x="8"/>
        <item h="1" x="2"/>
        <item h="1" x="5"/>
        <item h="1" x="11"/>
        <item x="7"/>
        <item h="1" x="1"/>
        <item h="1" x="4"/>
        <item h="1" x="0"/>
        <item h="1" x="10"/>
        <item h="1" x="6"/>
        <item h="1" x="3"/>
        <item h="1" x="9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mount" fld="5" baseField="0" baseItem="0"/>
  </dataFields>
  <chartFormats count="5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8B716D-4B81-4BB0-B224-D0946E9079AC}" name="PivotTable2" cacheId="120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P9:Q14" firstHeaderRow="1" firstDataRow="1" firstDataCol="1"/>
  <pivotFields count="6">
    <pivotField compact="0" numFmtId="14" outline="0" showAll="0"/>
    <pivotField axis="axisRow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5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1A6ECF-C95E-437C-8D9F-7DD19AFA6A61}" name="PivotTable1" cacheId="120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M9:N12" firstHeaderRow="1" firstDataRow="1" firstDataCol="1"/>
  <pivotFields count="6">
    <pivotField compact="0" numFmtId="14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dataField="1" compact="0" outline="0"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Amount" fld="5" baseField="0" baseItem="0"/>
  </dataFields>
  <chartFormats count="13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D7DFCB7-6A77-45BA-AC90-307A2D5F0C8B}" name="Table2" displayName="Table2" ref="A1:F13" totalsRowShown="0">
  <autoFilter ref="A1:F13" xr:uid="{FD7DFCB7-6A77-45BA-AC90-307A2D5F0C8B}"/>
  <tableColumns count="6">
    <tableColumn id="1" xr3:uid="{749E5CA8-ACDC-4938-9F41-7F84A744AF46}" name="Date" dataDxfId="1"/>
    <tableColumn id="2" xr3:uid="{AA512218-8EC1-4CB7-ABFB-6347C61A277B}" name="Month" dataDxfId="0">
      <calculatedColumnFormula>TEXT(A2,"mmm")</calculatedColumnFormula>
    </tableColumn>
    <tableColumn id="3" xr3:uid="{B6636F5D-D016-4B32-BB36-68458A017836}" name="Customer"/>
    <tableColumn id="4" xr3:uid="{706C5D7B-4518-4BB9-9977-B3921A33E0CD}" name="Gender"/>
    <tableColumn id="5" xr3:uid="{CE6450E6-B8A3-4250-8F68-4446CD706847}" name="Product"/>
    <tableColumn id="6" xr3:uid="{6CF39E6A-88F5-4F92-85F5-482189B672D7}" name="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1.xml"/><Relationship Id="rId4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69FF-E7FE-44FC-BA29-9B57FC3E2DAB}">
  <dimension ref="A1"/>
  <sheetViews>
    <sheetView workbookViewId="0">
      <selection activeCell="A2" sqref="A2:C8"/>
    </sheetView>
  </sheetViews>
  <sheetFormatPr defaultRowHeight="15"/>
  <cols>
    <col min="2" max="2" width="20" bestFit="1" customWidth="1"/>
    <col min="3" max="3" width="22.5703125" customWidth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E83A5-DA70-406A-AE01-3745FF18F303}">
  <dimension ref="A1"/>
  <sheetViews>
    <sheetView workbookViewId="0">
      <selection activeCell="F34" sqref="F34"/>
    </sheetView>
  </sheetViews>
  <sheetFormatPr defaultRowHeight="15"/>
  <cols>
    <col min="1" max="1" width="11.42578125" bestFit="1" customWidth="1"/>
    <col min="2" max="2" width="14.85546875" bestFit="1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F5BFC-22EF-488D-84A2-01DE14451FEF}">
  <dimension ref="A1:F13"/>
  <sheetViews>
    <sheetView workbookViewId="0">
      <selection activeCell="B2" sqref="B2"/>
    </sheetView>
  </sheetViews>
  <sheetFormatPr defaultRowHeight="15"/>
  <cols>
    <col min="1" max="2" width="19" customWidth="1"/>
    <col min="3" max="3" width="14.85546875" bestFit="1" customWidth="1"/>
    <col min="5" max="5" width="10.285156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44927</v>
      </c>
      <c r="B2" s="1" t="str">
        <f>TEXT(A2,"mmm")</f>
        <v>Jan</v>
      </c>
      <c r="C2" t="s">
        <v>6</v>
      </c>
      <c r="D2" t="s">
        <v>7</v>
      </c>
      <c r="E2" t="s">
        <v>8</v>
      </c>
      <c r="F2">
        <v>200</v>
      </c>
    </row>
    <row r="3" spans="1:6">
      <c r="A3" s="1">
        <v>44928</v>
      </c>
      <c r="B3" s="1" t="str">
        <f t="shared" ref="B3:B13" si="0">TEXT(A3,"mmm")</f>
        <v>Jan</v>
      </c>
      <c r="C3" t="s">
        <v>9</v>
      </c>
      <c r="D3" t="s">
        <v>10</v>
      </c>
      <c r="E3" t="s">
        <v>11</v>
      </c>
      <c r="F3">
        <v>150</v>
      </c>
    </row>
    <row r="4" spans="1:6">
      <c r="A4" s="1">
        <v>44929</v>
      </c>
      <c r="B4" s="1" t="str">
        <f t="shared" si="0"/>
        <v>Jan</v>
      </c>
      <c r="C4" t="s">
        <v>12</v>
      </c>
      <c r="D4" t="s">
        <v>7</v>
      </c>
      <c r="E4" t="s">
        <v>13</v>
      </c>
      <c r="F4">
        <v>90</v>
      </c>
    </row>
    <row r="5" spans="1:6">
      <c r="A5" s="1">
        <v>44936</v>
      </c>
      <c r="B5" s="1" t="str">
        <f t="shared" si="0"/>
        <v>Jan</v>
      </c>
      <c r="C5" t="s">
        <v>14</v>
      </c>
      <c r="D5" t="s">
        <v>10</v>
      </c>
      <c r="E5" t="s">
        <v>8</v>
      </c>
      <c r="F5">
        <v>320</v>
      </c>
    </row>
    <row r="6" spans="1:6">
      <c r="A6" s="1">
        <v>44972</v>
      </c>
      <c r="B6" s="1" t="str">
        <f t="shared" si="0"/>
        <v>Feb</v>
      </c>
      <c r="C6" t="s">
        <v>15</v>
      </c>
      <c r="D6" t="s">
        <v>7</v>
      </c>
      <c r="E6" t="s">
        <v>11</v>
      </c>
      <c r="F6">
        <v>180</v>
      </c>
    </row>
    <row r="7" spans="1:6">
      <c r="A7" s="1">
        <v>44975</v>
      </c>
      <c r="B7" s="1" t="str">
        <f t="shared" si="0"/>
        <v>Feb</v>
      </c>
      <c r="C7" t="s">
        <v>16</v>
      </c>
      <c r="D7" t="s">
        <v>10</v>
      </c>
      <c r="E7" t="s">
        <v>13</v>
      </c>
      <c r="F7">
        <v>110</v>
      </c>
    </row>
    <row r="8" spans="1:6">
      <c r="A8" s="1">
        <v>44990</v>
      </c>
      <c r="B8" s="1" t="str">
        <f t="shared" si="0"/>
        <v>Mar</v>
      </c>
      <c r="C8" t="s">
        <v>17</v>
      </c>
      <c r="D8" t="s">
        <v>7</v>
      </c>
      <c r="E8" t="s">
        <v>8</v>
      </c>
      <c r="F8">
        <v>260</v>
      </c>
    </row>
    <row r="9" spans="1:6">
      <c r="A9" s="1">
        <v>44993</v>
      </c>
      <c r="B9" s="1" t="str">
        <f t="shared" si="0"/>
        <v>Mar</v>
      </c>
      <c r="C9" t="s">
        <v>18</v>
      </c>
      <c r="D9" t="s">
        <v>10</v>
      </c>
      <c r="E9" t="s">
        <v>11</v>
      </c>
      <c r="F9">
        <v>140</v>
      </c>
    </row>
    <row r="10" spans="1:6">
      <c r="A10" s="1">
        <v>44997</v>
      </c>
      <c r="B10" s="1" t="str">
        <f t="shared" si="0"/>
        <v>Mar</v>
      </c>
      <c r="C10" t="s">
        <v>19</v>
      </c>
      <c r="D10" t="s">
        <v>7</v>
      </c>
      <c r="E10" t="s">
        <v>13</v>
      </c>
      <c r="F10">
        <v>75</v>
      </c>
    </row>
    <row r="11" spans="1:6">
      <c r="A11" s="1">
        <v>45017</v>
      </c>
      <c r="B11" s="1" t="str">
        <f t="shared" si="0"/>
        <v>Apr</v>
      </c>
      <c r="C11" t="s">
        <v>20</v>
      </c>
      <c r="D11" t="s">
        <v>10</v>
      </c>
      <c r="E11" t="s">
        <v>8</v>
      </c>
      <c r="F11">
        <v>420</v>
      </c>
    </row>
    <row r="12" spans="1:6">
      <c r="A12" s="1">
        <v>45019</v>
      </c>
      <c r="B12" s="1" t="str">
        <f t="shared" si="0"/>
        <v>Apr</v>
      </c>
      <c r="C12" t="s">
        <v>21</v>
      </c>
      <c r="D12" t="s">
        <v>7</v>
      </c>
      <c r="E12" t="s">
        <v>11</v>
      </c>
      <c r="F12">
        <v>210</v>
      </c>
    </row>
    <row r="13" spans="1:6">
      <c r="A13" s="1">
        <v>45022</v>
      </c>
      <c r="B13" s="1" t="str">
        <f t="shared" si="0"/>
        <v>Apr</v>
      </c>
      <c r="C13" t="s">
        <v>22</v>
      </c>
      <c r="D13" t="s">
        <v>10</v>
      </c>
      <c r="E13" t="s">
        <v>13</v>
      </c>
      <c r="F13">
        <v>130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"/>
  <sheetViews>
    <sheetView topLeftCell="D1" workbookViewId="0">
      <selection activeCell="AA44" sqref="AA44"/>
    </sheetView>
  </sheetViews>
  <sheetFormatPr defaultRowHeight="15"/>
  <cols>
    <col min="1" max="1" width="11.140625" bestFit="1" customWidth="1"/>
    <col min="2" max="2" width="11.140625" customWidth="1"/>
    <col min="3" max="3" width="11.7109375" bestFit="1" customWidth="1"/>
    <col min="4" max="4" width="9.7109375" bestFit="1" customWidth="1"/>
    <col min="5" max="5" width="10.28515625" bestFit="1" customWidth="1"/>
    <col min="6" max="6" width="10.42578125" bestFit="1" customWidth="1"/>
    <col min="7" max="7" width="11.42578125" bestFit="1" customWidth="1"/>
    <col min="8" max="8" width="14.85546875" bestFit="1" customWidth="1"/>
    <col min="10" max="10" width="11.42578125" bestFit="1" customWidth="1"/>
    <col min="11" max="11" width="14.85546875" customWidth="1"/>
    <col min="14" max="14" width="13.7109375" customWidth="1"/>
    <col min="17" max="17" width="14.140625" customWidth="1"/>
    <col min="18" max="18" width="19.28515625" customWidth="1"/>
  </cols>
  <sheetData>
    <row r="1" spans="1:17">
      <c r="A1" t="s">
        <v>0</v>
      </c>
      <c r="B1" t="s">
        <v>23</v>
      </c>
      <c r="C1" t="s">
        <v>2</v>
      </c>
      <c r="D1" t="s">
        <v>3</v>
      </c>
      <c r="E1" t="s">
        <v>4</v>
      </c>
      <c r="F1" t="s">
        <v>5</v>
      </c>
    </row>
    <row r="2" spans="1:17" ht="30.75">
      <c r="A2" s="1">
        <v>44927</v>
      </c>
      <c r="B2" s="2" t="str">
        <f>TEXT(A2,"mmm")</f>
        <v>Jan</v>
      </c>
      <c r="C2" t="s">
        <v>6</v>
      </c>
      <c r="D2" t="s">
        <v>7</v>
      </c>
      <c r="E2" t="s">
        <v>8</v>
      </c>
      <c r="F2">
        <v>200</v>
      </c>
    </row>
    <row r="3" spans="1:17">
      <c r="A3" s="1">
        <v>44928</v>
      </c>
      <c r="B3" s="2" t="str">
        <f t="shared" ref="B3:B13" si="0">TEXT(A3,"mmm")</f>
        <v>Jan</v>
      </c>
      <c r="C3" t="s">
        <v>9</v>
      </c>
      <c r="D3" t="s">
        <v>10</v>
      </c>
      <c r="E3" t="s">
        <v>11</v>
      </c>
      <c r="F3">
        <v>150</v>
      </c>
    </row>
    <row r="4" spans="1:17">
      <c r="A4" s="1">
        <v>44929</v>
      </c>
      <c r="B4" s="2" t="str">
        <f t="shared" si="0"/>
        <v>Jan</v>
      </c>
      <c r="C4" t="s">
        <v>12</v>
      </c>
      <c r="D4" t="s">
        <v>7</v>
      </c>
      <c r="E4" t="s">
        <v>13</v>
      </c>
      <c r="F4">
        <v>90</v>
      </c>
    </row>
    <row r="5" spans="1:17">
      <c r="A5" s="1">
        <v>44936</v>
      </c>
      <c r="B5" s="2" t="str">
        <f t="shared" si="0"/>
        <v>Jan</v>
      </c>
      <c r="C5" t="s">
        <v>14</v>
      </c>
      <c r="D5" t="s">
        <v>10</v>
      </c>
      <c r="E5" t="s">
        <v>8</v>
      </c>
      <c r="F5">
        <v>320</v>
      </c>
    </row>
    <row r="6" spans="1:17">
      <c r="A6" s="1">
        <v>44972</v>
      </c>
      <c r="B6" s="2" t="str">
        <f t="shared" si="0"/>
        <v>Feb</v>
      </c>
      <c r="C6" t="s">
        <v>15</v>
      </c>
      <c r="D6" t="s">
        <v>7</v>
      </c>
      <c r="E6" t="s">
        <v>11</v>
      </c>
      <c r="F6">
        <v>180</v>
      </c>
    </row>
    <row r="7" spans="1:17">
      <c r="A7" s="1">
        <v>44975</v>
      </c>
      <c r="B7" s="2" t="str">
        <f t="shared" si="0"/>
        <v>Feb</v>
      </c>
      <c r="C7" t="s">
        <v>16</v>
      </c>
      <c r="D7" t="s">
        <v>10</v>
      </c>
      <c r="E7" t="s">
        <v>13</v>
      </c>
      <c r="F7">
        <v>110</v>
      </c>
    </row>
    <row r="8" spans="1:17">
      <c r="A8" s="1">
        <v>44990</v>
      </c>
      <c r="B8" s="2" t="str">
        <f t="shared" si="0"/>
        <v>Mar</v>
      </c>
      <c r="C8" t="s">
        <v>17</v>
      </c>
      <c r="D8" t="s">
        <v>7</v>
      </c>
      <c r="E8" t="s">
        <v>8</v>
      </c>
      <c r="F8">
        <v>260</v>
      </c>
    </row>
    <row r="9" spans="1:17">
      <c r="A9" s="1">
        <v>44993</v>
      </c>
      <c r="B9" s="2" t="str">
        <f t="shared" si="0"/>
        <v>Mar</v>
      </c>
      <c r="C9" t="s">
        <v>18</v>
      </c>
      <c r="D9" t="s">
        <v>10</v>
      </c>
      <c r="E9" t="s">
        <v>11</v>
      </c>
      <c r="F9">
        <v>140</v>
      </c>
      <c r="J9" s="3" t="s">
        <v>4</v>
      </c>
      <c r="K9" t="s">
        <v>24</v>
      </c>
      <c r="M9" s="3" t="s">
        <v>3</v>
      </c>
      <c r="N9" t="s">
        <v>24</v>
      </c>
      <c r="P9" s="3" t="s">
        <v>23</v>
      </c>
      <c r="Q9" t="s">
        <v>24</v>
      </c>
    </row>
    <row r="10" spans="1:17">
      <c r="A10" s="1">
        <v>44997</v>
      </c>
      <c r="B10" s="2" t="str">
        <f t="shared" si="0"/>
        <v>Mar</v>
      </c>
      <c r="C10" t="s">
        <v>19</v>
      </c>
      <c r="D10" t="s">
        <v>7</v>
      </c>
      <c r="E10" t="s">
        <v>13</v>
      </c>
      <c r="F10">
        <v>75</v>
      </c>
      <c r="J10" t="s">
        <v>13</v>
      </c>
      <c r="K10" s="4">
        <v>405</v>
      </c>
      <c r="M10" t="s">
        <v>10</v>
      </c>
      <c r="N10" s="4">
        <v>1270</v>
      </c>
      <c r="P10" t="s">
        <v>25</v>
      </c>
      <c r="Q10" s="4">
        <v>760</v>
      </c>
    </row>
    <row r="11" spans="1:17">
      <c r="A11" s="1">
        <v>45017</v>
      </c>
      <c r="B11" s="2" t="str">
        <f t="shared" si="0"/>
        <v>Apr</v>
      </c>
      <c r="C11" t="s">
        <v>20</v>
      </c>
      <c r="D11" t="s">
        <v>10</v>
      </c>
      <c r="E11" t="s">
        <v>8</v>
      </c>
      <c r="F11">
        <v>420</v>
      </c>
      <c r="J11" t="s">
        <v>11</v>
      </c>
      <c r="K11" s="4">
        <v>680</v>
      </c>
      <c r="M11" t="s">
        <v>7</v>
      </c>
      <c r="N11" s="4">
        <v>1015</v>
      </c>
      <c r="P11" t="s">
        <v>26</v>
      </c>
      <c r="Q11" s="4">
        <v>290</v>
      </c>
    </row>
    <row r="12" spans="1:17">
      <c r="A12" s="1">
        <v>45019</v>
      </c>
      <c r="B12" s="2" t="str">
        <f t="shared" si="0"/>
        <v>Apr</v>
      </c>
      <c r="C12" t="s">
        <v>21</v>
      </c>
      <c r="D12" t="s">
        <v>7</v>
      </c>
      <c r="E12" t="s">
        <v>11</v>
      </c>
      <c r="F12">
        <v>210</v>
      </c>
      <c r="J12" t="s">
        <v>8</v>
      </c>
      <c r="K12" s="4">
        <v>1200</v>
      </c>
      <c r="M12" t="s">
        <v>27</v>
      </c>
      <c r="N12" s="4">
        <v>2285</v>
      </c>
      <c r="P12" t="s">
        <v>28</v>
      </c>
      <c r="Q12" s="4">
        <v>475</v>
      </c>
    </row>
    <row r="13" spans="1:17">
      <c r="A13" s="1">
        <v>45022</v>
      </c>
      <c r="B13" s="2" t="str">
        <f t="shared" si="0"/>
        <v>Apr</v>
      </c>
      <c r="C13" t="s">
        <v>22</v>
      </c>
      <c r="D13" t="s">
        <v>10</v>
      </c>
      <c r="E13" t="s">
        <v>13</v>
      </c>
      <c r="F13">
        <v>130</v>
      </c>
      <c r="J13" t="s">
        <v>27</v>
      </c>
      <c r="K13" s="4">
        <v>2285</v>
      </c>
      <c r="P13" t="s">
        <v>29</v>
      </c>
      <c r="Q13" s="4">
        <v>760</v>
      </c>
    </row>
    <row r="14" spans="1:17">
      <c r="P14" t="s">
        <v>27</v>
      </c>
      <c r="Q14" s="4">
        <v>2285</v>
      </c>
    </row>
  </sheetData>
  <pageMargins left="0.7" right="0.7" top="0.75" bottom="0.75" header="0.3" footer="0.3"/>
  <drawing r:id="rId4"/>
  <tableParts count="1"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D9368-E8CC-4030-9265-61D6BF9D2B61}">
  <dimension ref="A1"/>
  <sheetViews>
    <sheetView tabSelected="1" workbookViewId="0">
      <selection activeCell="M3" sqref="M3"/>
    </sheetView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2026-05-04T06:45:37Z</dcterms:created>
  <dcterms:modified xsi:type="dcterms:W3CDTF">2026-05-13T03:12:07Z</dcterms:modified>
  <cp:category/>
  <cp:contentStatus/>
</cp:coreProperties>
</file>